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- Table of Contents" sheetId="1" state="visible" r:id="rId1"/>
    <sheet xmlns:r="http://schemas.openxmlformats.org/officeDocument/2006/relationships" name="B - Proj Doc References" sheetId="2" state="visible" r:id="rId2"/>
    <sheet xmlns:r="http://schemas.openxmlformats.org/officeDocument/2006/relationships" name="C-TC-1 (Example Module)" sheetId="3" state="visible" r:id="rId3"/>
    <sheet xmlns:r="http://schemas.openxmlformats.org/officeDocument/2006/relationships" name="Test Statistics" sheetId="4" state="visible" r:id="rId4"/>
    <sheet xmlns:r="http://schemas.openxmlformats.org/officeDocument/2006/relationships" name="Chang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color rgb="000070C0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92D050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4" borderId="1" pivotButton="0" quotePrefix="0" xfId="0"/>
    <xf numFmtId="0" fontId="0" fillId="4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164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60" customWidth="1" min="3" max="3"/>
    <col width="22" customWidth="1" min="4" max="4"/>
  </cols>
  <sheetData>
    <row r="1">
      <c r="B1" s="1" t="inlineStr">
        <is>
          <t>AGILE TEST SPECIFICATIONS - Table of Contents</t>
        </is>
      </c>
    </row>
    <row r="3">
      <c r="A3" s="2" t="inlineStr">
        <is>
          <t>Project Code</t>
        </is>
      </c>
      <c r="C3" s="3" t="inlineStr">
        <is>
          <t>EXP-0001</t>
        </is>
      </c>
    </row>
    <row r="4">
      <c r="A4" s="2" t="inlineStr">
        <is>
          <t>Project Name</t>
        </is>
      </c>
      <c r="C4" s="3" t="inlineStr">
        <is>
          <t>Example Project</t>
        </is>
      </c>
    </row>
    <row r="5">
      <c r="A5" s="2" t="inlineStr">
        <is>
          <t>System/Subsystem Name (if applicable)</t>
        </is>
      </c>
      <c r="C5" s="3" t="inlineStr">
        <is>
          <t>Example System</t>
        </is>
      </c>
    </row>
    <row r="6">
      <c r="A6" s="2" t="inlineStr">
        <is>
          <t>Module Name (if applicable)</t>
        </is>
      </c>
      <c r="C6" s="3" t="inlineStr">
        <is>
          <t>EXM - Example Module</t>
        </is>
      </c>
    </row>
    <row r="7">
      <c r="A7" s="2" t="inlineStr">
        <is>
          <t>Test Type</t>
        </is>
      </c>
      <c r="C7" s="3" t="inlineStr">
        <is>
          <t>SIT</t>
        </is>
      </c>
    </row>
    <row r="8">
      <c r="A8" s="2" t="inlineStr">
        <is>
          <t>Version No.</t>
        </is>
      </c>
      <c r="C8" s="3" t="inlineStr">
        <is>
          <t>v0.1</t>
        </is>
      </c>
    </row>
    <row r="9">
      <c r="A9" s="2" t="inlineStr">
        <is>
          <t>Prepared by / Date</t>
        </is>
      </c>
      <c r="C9" s="3" t="inlineStr">
        <is>
          <t>tc-copilot / 01 Jan 2026</t>
        </is>
      </c>
    </row>
    <row r="10">
      <c r="A10" s="2" t="inlineStr">
        <is>
          <t>Reviewed by / Date</t>
        </is>
      </c>
      <c r="C10" s="3" t="inlineStr"/>
    </row>
    <row r="12">
      <c r="A12" s="2" t="inlineStr">
        <is>
          <t>Test Execution Cycle</t>
        </is>
      </c>
      <c r="C12" s="3" t="inlineStr">
        <is>
          <t>SIT</t>
        </is>
      </c>
    </row>
    <row r="13">
      <c r="A13" s="2" t="inlineStr">
        <is>
          <t>Test Execution Period</t>
        </is>
      </c>
      <c r="C13" s="3" t="inlineStr">
        <is>
          <t>From &lt;dd/mm/yyyy&gt; to &lt;dd/mm/yyyy&gt; - to be filled during test execution</t>
        </is>
      </c>
    </row>
    <row r="14">
      <c r="A14" s="2" t="inlineStr">
        <is>
          <t>Test Result As At</t>
        </is>
      </c>
      <c r="C14" s="3" t="inlineStr">
        <is>
          <t>&lt;dd/mm/yyyy&gt; - to be filled during test execution</t>
        </is>
      </c>
    </row>
    <row r="16">
      <c r="A16" s="4" t="inlineStr">
        <is>
          <t>Revision History</t>
        </is>
      </c>
    </row>
    <row r="17">
      <c r="A17" s="5" t="inlineStr">
        <is>
          <t>Version</t>
        </is>
      </c>
      <c r="B17" s="5" t="inlineStr">
        <is>
          <t>Effective Date</t>
        </is>
      </c>
      <c r="C17" s="5" t="inlineStr">
        <is>
          <t>Summary of Changes</t>
        </is>
      </c>
      <c r="D17" s="5" t="inlineStr">
        <is>
          <t>Author</t>
        </is>
      </c>
    </row>
    <row r="18">
      <c r="A18" s="6" t="inlineStr">
        <is>
          <t>v0.1</t>
        </is>
      </c>
      <c r="B18" s="6" t="inlineStr">
        <is>
          <t>01 Jan 2026</t>
        </is>
      </c>
      <c r="C18" s="6" t="inlineStr">
        <is>
          <t>Reference layout generated by tools/make_reference_workbooks.py</t>
        </is>
      </c>
      <c r="D18" s="6" t="inlineStr">
        <is>
          <t>tc-copilot</t>
        </is>
      </c>
    </row>
    <row r="21">
      <c r="A21" s="4" t="inlineStr">
        <is>
          <t>Table of Contents</t>
        </is>
      </c>
    </row>
    <row r="22">
      <c r="A22" s="5" t="inlineStr">
        <is>
          <t>Tab</t>
        </is>
      </c>
      <c r="B22" s="5" t="inlineStr">
        <is>
          <t>Title</t>
        </is>
      </c>
    </row>
    <row r="23">
      <c r="A23" s="6" t="inlineStr">
        <is>
          <t>A - Table of Contents</t>
        </is>
      </c>
      <c r="B23" s="6" t="inlineStr">
        <is>
          <t>Table of Contents</t>
        </is>
      </c>
    </row>
    <row r="24">
      <c r="A24" s="6" t="inlineStr">
        <is>
          <t>B - Proj Doc References</t>
        </is>
      </c>
      <c r="B24" s="6" t="inlineStr">
        <is>
          <t>Project Document References</t>
        </is>
      </c>
    </row>
    <row r="25">
      <c r="A25" s="6" t="inlineStr">
        <is>
          <t>C-TC-1 (Example Module)</t>
        </is>
      </c>
      <c r="B25" s="6" t="inlineStr">
        <is>
          <t>Test Case</t>
        </is>
      </c>
    </row>
    <row r="26">
      <c r="A26" s="6" t="inlineStr">
        <is>
          <t>Test Statistics</t>
        </is>
      </c>
      <c r="B26" s="6" t="inlineStr">
        <is>
          <t>Test Statistics</t>
        </is>
      </c>
    </row>
    <row r="27">
      <c r="A27" s="6" t="inlineStr">
        <is>
          <t>Change Log</t>
        </is>
      </c>
      <c r="B27" s="6" t="inlineStr">
        <is>
          <t>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3" max="3"/>
  </cols>
  <sheetData>
    <row r="1">
      <c r="B1" s="7" t="inlineStr">
        <is>
          <t>AGILE TEST SPECIFICATIONS
- Project Document References</t>
        </is>
      </c>
    </row>
    <row r="3">
      <c r="A3" s="2" t="inlineStr">
        <is>
          <t>Project Code / Name</t>
        </is>
      </c>
      <c r="C3" s="3">
        <f>CONCATENATE('A - Table of Contents'!$C$3,"/ ",'A - Table of Contents'!$C$4)</f>
        <v/>
      </c>
    </row>
    <row r="4">
      <c r="A4" s="2" t="inlineStr">
        <is>
          <t>System/Subsystem/Module</t>
        </is>
      </c>
      <c r="C4" s="3">
        <f>CONCATENATE('A - Table of Contents'!$C$5,"/ ",'A - Table of Contents'!$C$6)</f>
        <v/>
      </c>
    </row>
    <row r="5">
      <c r="A5" s="2" t="inlineStr">
        <is>
          <t>Test Type / Version No.</t>
        </is>
      </c>
      <c r="C5" s="3">
        <f>CONCATENATE('A - Table of Contents'!$C$7,"/ ",'A - Table of Contents'!$C$8)</f>
        <v/>
      </c>
    </row>
    <row r="7">
      <c r="A7" s="5" t="inlineStr">
        <is>
          <t>Document Type</t>
        </is>
      </c>
      <c r="C7" s="5" t="inlineStr">
        <is>
          <t>Document Name and version</t>
        </is>
      </c>
    </row>
    <row r="8">
      <c r="A8" s="6" t="inlineStr">
        <is>
          <t>PRD</t>
        </is>
      </c>
      <c r="C8" s="6" t="inlineStr">
        <is>
          <t>Example Project - PRD 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  <col width="51" customWidth="1" min="3" max="3"/>
    <col width="31" customWidth="1" min="4" max="4"/>
    <col width="66" customWidth="1" min="5" max="5"/>
    <col width="26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20" customWidth="1" min="12" max="12"/>
  </cols>
  <sheetData>
    <row r="2">
      <c r="B2" s="4" t="inlineStr">
        <is>
          <t>AGILE TEST SPECIFICATIONS - Test Cases</t>
        </is>
      </c>
    </row>
    <row r="3">
      <c r="C3" s="2">
        <f>CONCATENATE("Total TC = ",COUNTIF(A:A,"TC-*")+COUNTIF(A:A,"BR-*"))</f>
        <v/>
      </c>
    </row>
    <row r="4">
      <c r="A4" s="2" t="inlineStr">
        <is>
          <t>Project Code / Name</t>
        </is>
      </c>
      <c r="B4" s="3">
        <f>CONCATENATE('A - Table of Contents'!$C$3,"/ ",'A - Table of Contents'!$C$4)</f>
        <v/>
      </c>
    </row>
    <row r="5">
      <c r="A5" s="2" t="inlineStr">
        <is>
          <t>System/Subsystem/Module</t>
        </is>
      </c>
      <c r="B5" s="3">
        <f>CONCATENATE('A - Table of Contents'!$C$5,"/ ",'A - Table of Contents'!$C$6)</f>
        <v/>
      </c>
    </row>
    <row r="6">
      <c r="A6" s="2" t="inlineStr">
        <is>
          <t>Test Type / Version No.</t>
        </is>
      </c>
      <c r="B6" s="3">
        <f>CONCATENATE('A - Table of Contents'!$C$7,"/ ",'A - Table of Contents'!$C$8)</f>
        <v/>
      </c>
    </row>
    <row r="7">
      <c r="D7" s="8" t="inlineStr">
        <is>
          <t>Viewer, Reviewer, Approver</t>
        </is>
      </c>
      <c r="F7" s="9" t="inlineStr">
        <is>
          <t>Update during Test Execution</t>
        </is>
      </c>
    </row>
    <row r="8" ht="38" customHeight="1">
      <c r="A8" s="10" t="inlineStr">
        <is>
          <t>Test Case ID</t>
        </is>
      </c>
      <c r="B8" s="10" t="inlineStr">
        <is>
          <t>Scenario</t>
        </is>
      </c>
      <c r="C8" s="10" t="inlineStr">
        <is>
          <t>Test Steps</t>
        </is>
      </c>
      <c r="D8" s="10" t="inlineStr">
        <is>
          <t>Field / Values</t>
        </is>
      </c>
      <c r="E8" s="10" t="inlineStr">
        <is>
          <t>Expected Results</t>
        </is>
      </c>
      <c r="F8" s="11" t="inlineStr">
        <is>
          <t>Actual Results</t>
        </is>
      </c>
      <c r="G8" s="11" t="inlineStr">
        <is>
          <t>Status</t>
        </is>
      </c>
      <c r="H8" s="11" t="inlineStr">
        <is>
          <t>Tested by</t>
        </is>
      </c>
      <c r="I8" s="11" t="inlineStr">
        <is>
          <t>Date Tested</t>
        </is>
      </c>
      <c r="J8" s="11" t="inlineStr">
        <is>
          <t>Retested by</t>
        </is>
      </c>
      <c r="K8" s="11" t="inlineStr">
        <is>
          <t>Retested Date</t>
        </is>
      </c>
      <c r="L8" s="11" t="inlineStr">
        <is>
          <t>Remarks</t>
        </is>
      </c>
    </row>
    <row r="9">
      <c r="A9" s="12" t="inlineStr">
        <is>
          <t>Example Module - §1 (1.2.3.4)</t>
        </is>
      </c>
    </row>
    <row r="10">
      <c r="A10" s="12" t="inlineStr">
        <is>
          <t>&lt;Pre-condition&gt;</t>
        </is>
      </c>
    </row>
    <row r="11">
      <c r="A11" s="12" t="inlineStr">
        <is>
          <t>1. The user has an active account.</t>
        </is>
      </c>
    </row>
    <row r="12" ht="21" customHeight="1">
      <c r="A12" s="13" t="inlineStr">
        <is>
          <t>Sign In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 ht="80" customHeight="1">
      <c r="A13" s="15" t="inlineStr">
        <is>
          <t>TC-1.2.3.4-AC01-01</t>
        </is>
      </c>
      <c r="B13" s="15" t="inlineStr">
        <is>
          <r>
            <rPr>
              <rFont val="Arial"/>
              <b val="1"/>
              <sz val="10"/>
            </rPr>
            <t>Scenario:</t>
          </r>
          <r>
            <t xml:space="preserve"> User signs in with valid credentials.
</t>
          </r>
          <r>
            <rPr>
              <rFont val="Arial"/>
              <b val="1"/>
              <sz val="10"/>
            </rPr>
            <t>Given:</t>
          </r>
          <r>
            <t xml:space="preserve"> The user is on the sign-in screen.
</t>
          </r>
          <r>
            <rPr>
              <rFont val="Arial"/>
              <b val="1"/>
              <sz val="10"/>
            </rPr>
            <t>When:</t>
          </r>
          <r>
            <t xml:space="preserve"> They enter a valid username and password and select Sign In.
</t>
          </r>
          <r>
            <rPr>
              <rFont val="Arial"/>
              <b val="1"/>
              <sz val="10"/>
            </rPr>
            <t>Then:</t>
          </r>
          <r>
            <t xml:space="preserve"> They land on the home screen.</t>
          </r>
        </is>
      </c>
      <c r="C13" s="15" t="inlineStr">
        <is>
          <t>1. Open the sign-in screen.
2. Enter the username and password.
3. Select Sign In.</t>
        </is>
      </c>
      <c r="D13" s="15" t="inlineStr">
        <is>
          <t>Username = demo.user
Password = Passw0rd!</t>
        </is>
      </c>
      <c r="E13" s="15" t="inlineStr">
        <is>
          <t>1. The home screen displays.
2. The welcome banner shows the signed-in user's name.</t>
        </is>
      </c>
      <c r="F13" s="16" t="n"/>
      <c r="G13" s="16" t="n"/>
      <c r="H13" s="16" t="n"/>
      <c r="I13" s="16" t="n"/>
      <c r="J13" s="16" t="n"/>
      <c r="K13" s="16" t="n"/>
      <c r="L13" s="16" t="n"/>
    </row>
    <row r="14" ht="80" customHeight="1">
      <c r="A14" s="15" t="inlineStr">
        <is>
          <t>TC-1.2.3.4-AC01-02</t>
        </is>
      </c>
      <c r="B14" s="15" t="inlineStr">
        <is>
          <r>
            <rPr>
              <rFont val="Arial"/>
              <b val="1"/>
              <sz val="10"/>
            </rPr>
            <t>Scenario:</t>
          </r>
          <r>
            <t xml:space="preserve"> User signs in with an invalid password.
</t>
          </r>
          <r>
            <rPr>
              <rFont val="Arial"/>
              <b val="1"/>
              <sz val="10"/>
            </rPr>
            <t>Given:</t>
          </r>
          <r>
            <t xml:space="preserve"> The user is on the sign-in screen.
</t>
          </r>
          <r>
            <rPr>
              <rFont val="Arial"/>
              <b val="1"/>
              <sz val="10"/>
            </rPr>
            <t>When:</t>
          </r>
          <r>
            <t xml:space="preserve"> They enter a valid username with an incorrect password and select Sign In.
</t>
          </r>
          <r>
            <rPr>
              <rFont val="Arial"/>
              <b val="1"/>
              <sz val="10"/>
            </rPr>
            <t>Then:</t>
          </r>
          <r>
            <t xml:space="preserve"> They see an error and stay on the sign-in screen.</t>
          </r>
        </is>
      </c>
      <c r="C14" s="15" t="inlineStr">
        <is>
          <t>1. Open the sign-in screen.
2. Enter the username and an incorrect password.
3. Select Sign In.</t>
        </is>
      </c>
      <c r="D14" s="15" t="inlineStr">
        <is>
          <t>Username = demo.user
Password = wrongpass</t>
        </is>
      </c>
      <c r="E14" s="15" t="inlineStr">
        <is>
          <t>1. An "Invalid username or password" error message displays.
2. The user remains on the sign-in screen.</t>
        </is>
      </c>
      <c r="F14" s="16" t="n"/>
      <c r="G14" s="16" t="n"/>
      <c r="H14" s="16" t="n"/>
      <c r="I14" s="16" t="n"/>
      <c r="J14" s="16" t="n"/>
      <c r="K14" s="16" t="n"/>
      <c r="L14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2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</cols>
  <sheetData>
    <row r="2">
      <c r="A2" s="4" t="inlineStr">
        <is>
          <t>OVERALL</t>
        </is>
      </c>
    </row>
    <row r="3">
      <c r="A3" s="2" t="inlineStr">
        <is>
          <t>Total TCs</t>
        </is>
      </c>
      <c r="B3" s="3">
        <f>B12</f>
        <v/>
      </c>
    </row>
    <row r="4">
      <c r="A4" s="3" t="inlineStr">
        <is>
          <t>Pass</t>
        </is>
      </c>
      <c r="B4" s="3">
        <f>B14</f>
        <v/>
      </c>
      <c r="C4" s="17">
        <f>IFERROR(B4/$B$3,0)</f>
        <v/>
      </c>
    </row>
    <row r="5">
      <c r="A5" s="3" t="inlineStr">
        <is>
          <t>Fail</t>
        </is>
      </c>
      <c r="B5" s="3">
        <f>B15</f>
        <v/>
      </c>
      <c r="C5" s="17">
        <f>IFERROR(B5/$B$3,0)</f>
        <v/>
      </c>
    </row>
    <row r="6">
      <c r="A6" s="3" t="inlineStr">
        <is>
          <t>Block</t>
        </is>
      </c>
      <c r="B6" s="3">
        <f>B16</f>
        <v/>
      </c>
      <c r="C6" s="17">
        <f>IFERROR(B6/$B$3,0)</f>
        <v/>
      </c>
    </row>
    <row r="7">
      <c r="A7" s="3" t="inlineStr">
        <is>
          <t>Void</t>
        </is>
      </c>
      <c r="B7" s="3">
        <f>B17</f>
        <v/>
      </c>
      <c r="C7" s="17">
        <f>IFERROR(B7/$B$3,0)</f>
        <v/>
      </c>
    </row>
    <row r="8">
      <c r="A8" s="3" t="inlineStr">
        <is>
          <t>Not Yet Tested</t>
        </is>
      </c>
      <c r="B8" s="3">
        <f>B18</f>
        <v/>
      </c>
      <c r="C8" s="17">
        <f>IFERROR(B8/$B$3,0)</f>
        <v/>
      </c>
    </row>
    <row r="9">
      <c r="A9" s="3" t="inlineStr">
        <is>
          <t>Pending Retest</t>
        </is>
      </c>
      <c r="B9" s="3">
        <f>B19</f>
        <v/>
      </c>
      <c r="C9" s="17">
        <f>IFERROR(B9/$B$3,0)</f>
        <v/>
      </c>
    </row>
    <row r="11">
      <c r="B11" s="18" t="inlineStr">
        <is>
          <t>Sign In</t>
        </is>
      </c>
    </row>
    <row r="12">
      <c r="A12" s="3" t="inlineStr">
        <is>
          <t>Total TCs</t>
        </is>
      </c>
      <c r="B12">
        <f>COUNTA(B$22:B$23)</f>
        <v/>
      </c>
    </row>
    <row r="13">
      <c r="A13" s="3" t="inlineStr">
        <is>
          <t>Total Executed (Pass + Fail)</t>
        </is>
      </c>
      <c r="B13">
        <f>B14+B15</f>
        <v/>
      </c>
    </row>
    <row r="14">
      <c r="A14" s="3" t="inlineStr">
        <is>
          <t>Pass</t>
        </is>
      </c>
      <c r="B14">
        <f>COUNTIF(C$22:C$23,"Pass")</f>
        <v/>
      </c>
      <c r="C14" s="19">
        <f>IFERROR(B14/B$12,0)</f>
        <v/>
      </c>
    </row>
    <row r="15">
      <c r="A15" s="3" t="inlineStr">
        <is>
          <t>Fail</t>
        </is>
      </c>
      <c r="B15">
        <f>COUNTIF(C$22:C$23,"Fail")</f>
        <v/>
      </c>
      <c r="C15" s="19">
        <f>IFERROR(B15/B$12,0)</f>
        <v/>
      </c>
    </row>
    <row r="16">
      <c r="A16" s="3" t="inlineStr">
        <is>
          <t>Block</t>
        </is>
      </c>
      <c r="B16">
        <f>COUNTIF(C$22:C$23,"Block")</f>
        <v/>
      </c>
      <c r="C16" s="19">
        <f>IFERROR(B16/B$12,0)</f>
        <v/>
      </c>
    </row>
    <row r="17">
      <c r="A17" s="3" t="inlineStr">
        <is>
          <t>Void</t>
        </is>
      </c>
      <c r="B17">
        <f>COUNTIF(C$22:C$23,"Void")</f>
        <v/>
      </c>
      <c r="C17" s="19">
        <f>IFERROR(B17/B$12,0)</f>
        <v/>
      </c>
    </row>
    <row r="18">
      <c r="A18" s="3" t="inlineStr">
        <is>
          <t>Not Yet Tested</t>
        </is>
      </c>
      <c r="B18">
        <f>COUNTIF(C$22:C$23,"Not Yet Tested")</f>
        <v/>
      </c>
      <c r="C18" s="19">
        <f>IFERROR(B18/B$12,0)</f>
        <v/>
      </c>
    </row>
    <row r="19">
      <c r="A19" s="3" t="inlineStr">
        <is>
          <t>Pending Retest</t>
        </is>
      </c>
      <c r="B19">
        <f>COUNTIF(C$22:C$23,"Pending Retest")</f>
        <v/>
      </c>
      <c r="C19" s="19">
        <f>IFERROR(B19/B$12,0)</f>
        <v/>
      </c>
    </row>
    <row r="21">
      <c r="B21" s="5" t="inlineStr">
        <is>
          <t>Test Case ID</t>
        </is>
      </c>
      <c r="C21" s="5" t="inlineStr">
        <is>
          <t>Status</t>
        </is>
      </c>
    </row>
    <row r="22">
      <c r="B22" s="6" t="inlineStr">
        <is>
          <t>TC-1.2.3.4-AC01-01</t>
        </is>
      </c>
      <c r="C22" s="6">
        <f>VLOOKUP(B22,'C-TC-1 (Example Module)'!$A:$L,7,FALSE)</f>
        <v/>
      </c>
    </row>
    <row r="23">
      <c r="B23" s="6" t="inlineStr">
        <is>
          <t>TC-1.2.3.4-AC01-02</t>
        </is>
      </c>
      <c r="C23" s="6">
        <f>VLOOKUP(B23,'C-TC-1 (Example Module)'!$A:$L,7,FALSE)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70" customWidth="1" min="3" max="3"/>
  </cols>
  <sheetData>
    <row r="1">
      <c r="A1" s="5" t="inlineStr">
        <is>
          <t>Dashboard</t>
        </is>
      </c>
      <c r="B1" s="5" t="inlineStr">
        <is>
          <t>Test Case ID</t>
        </is>
      </c>
      <c r="C1" s="5" t="inlineStr">
        <is>
          <t>Description of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tc-copilot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